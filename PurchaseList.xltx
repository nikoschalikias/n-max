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4625"/>
  </bookViews>
  <sheets>
    <sheet name="PurchaseList" sheetId="1" r:id="rId1"/>
  </sheets>
  <calcPr calcId="145621"/>
</workbook>
</file>

<file path=xl/calcChain.xml><?xml version="1.0" encoding="utf-8"?>
<calcChain xmlns="http://schemas.openxmlformats.org/spreadsheetml/2006/main">
  <c r="Q3" i="1" l="1"/>
  <c r="S3" i="1" s="1"/>
  <c r="Q4" i="1"/>
  <c r="Q2" i="1"/>
  <c r="S2" i="1" s="1"/>
  <c r="S4" i="1"/>
  <c r="M6" i="1" l="1"/>
  <c r="S6" i="1" l="1"/>
  <c r="A3" i="1" l="1"/>
  <c r="A4" i="1"/>
  <c r="A2" i="1"/>
</calcChain>
</file>

<file path=xl/sharedStrings.xml><?xml version="1.0" encoding="utf-8"?>
<sst xmlns="http://schemas.openxmlformats.org/spreadsheetml/2006/main" count="29" uniqueCount="29">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</sst>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3" borderId="1" xfId="0" quotePrefix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" fillId="3" borderId="1" xfId="0" quotePrefix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tabSelected="1" topLeftCell="C1" workbookViewId="0">
      <selection activeCell="Q3" sqref="Q3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9" customWidth="1"/>
    <col min="11" max="11" width="7.5703125" customWidth="1"/>
    <col min="12" max="12" width="8.140625" customWidth="1"/>
    <col min="13" max="13" width="25.140625" style="31" customWidth="1"/>
    <col min="14" max="14" width="4.28515625" style="31" customWidth="1"/>
    <col min="15" max="15" width="5.42578125" style="1" customWidth="1"/>
    <col min="16" max="17" width="6.42578125" style="34" customWidth="1"/>
    <col min="18" max="18" width="10.28515625" customWidth="1"/>
    <col min="19" max="19" width="12.5703125" customWidth="1"/>
  </cols>
  <sheetData>
    <row r="1" spans="1:19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</row>
    <row r="2" spans="1:19" ht="24.75" customHeight="1" x14ac:dyDescent="0.25">
      <c r="A2" s="9">
        <f>ROW(A2) - ROW($A$1)</f>
        <v>1</v>
      </c>
      <c r="B2" s="39"/>
      <c r="C2" s="38"/>
      <c r="D2" s="38"/>
      <c r="E2" s="10"/>
      <c r="F2" s="10"/>
      <c r="G2" s="40"/>
      <c r="H2" s="10"/>
      <c r="I2" s="10"/>
      <c r="J2" s="11"/>
      <c r="K2" s="10"/>
      <c r="L2" s="12"/>
      <c r="M2" s="35"/>
      <c r="N2" s="49">
        <v>1</v>
      </c>
      <c r="O2" s="12"/>
      <c r="P2" s="13"/>
      <c r="Q2" s="13">
        <f>ROUNDUP(P2*N2,0)</f>
        <v>0</v>
      </c>
      <c r="R2" s="36"/>
      <c r="S2" s="36">
        <f>R2*Q2</f>
        <v>0</v>
      </c>
    </row>
    <row r="3" spans="1:19" ht="24.75" customHeight="1" x14ac:dyDescent="0.25">
      <c r="A3" s="9">
        <f t="shared" ref="A3:A4" si="0">ROW(A3) - ROW($A$1)</f>
        <v>2</v>
      </c>
      <c r="B3" s="39"/>
      <c r="C3" s="38"/>
      <c r="D3" s="38"/>
      <c r="E3" s="10"/>
      <c r="F3" s="10"/>
      <c r="G3" s="40"/>
      <c r="H3" s="10"/>
      <c r="I3" s="10"/>
      <c r="J3" s="11"/>
      <c r="K3" s="10"/>
      <c r="L3" s="12"/>
      <c r="M3" s="35"/>
      <c r="N3" s="49">
        <v>1</v>
      </c>
      <c r="O3" s="12"/>
      <c r="P3" s="13"/>
      <c r="Q3" s="13">
        <f t="shared" ref="Q3:Q4" si="1">ROUNDUP(P3*N3,0)</f>
        <v>0</v>
      </c>
      <c r="R3" s="36"/>
      <c r="S3" s="36">
        <f t="shared" ref="S3:S4" si="2">R3*Q3</f>
        <v>0</v>
      </c>
    </row>
    <row r="4" spans="1:19" ht="24.75" customHeight="1" x14ac:dyDescent="0.25">
      <c r="A4" s="9">
        <f t="shared" si="0"/>
        <v>3</v>
      </c>
      <c r="B4" s="39"/>
      <c r="C4" s="38"/>
      <c r="D4" s="38"/>
      <c r="E4" s="10"/>
      <c r="F4" s="10"/>
      <c r="G4" s="40"/>
      <c r="H4" s="10"/>
      <c r="I4" s="10"/>
      <c r="J4" s="11"/>
      <c r="K4" s="10"/>
      <c r="L4" s="12"/>
      <c r="M4" s="35"/>
      <c r="N4" s="49">
        <v>1</v>
      </c>
      <c r="O4" s="12"/>
      <c r="P4" s="13"/>
      <c r="Q4" s="13">
        <f t="shared" si="1"/>
        <v>0</v>
      </c>
      <c r="R4" s="36"/>
      <c r="S4" s="36">
        <f t="shared" si="2"/>
        <v>0</v>
      </c>
    </row>
    <row r="5" spans="1:19" ht="6.75" customHeight="1" thickBot="1" x14ac:dyDescent="0.3">
      <c r="A5" s="21"/>
      <c r="B5" s="22"/>
      <c r="C5" s="23"/>
      <c r="D5" s="23"/>
      <c r="E5" s="23"/>
      <c r="F5" s="23"/>
      <c r="G5" s="22"/>
      <c r="H5" s="23"/>
      <c r="I5" s="23"/>
      <c r="J5" s="28"/>
      <c r="K5" s="23"/>
      <c r="L5" s="24"/>
      <c r="M5" s="30"/>
      <c r="N5" s="30"/>
      <c r="O5" s="25"/>
      <c r="P5" s="32"/>
      <c r="Q5" s="32"/>
      <c r="R5" s="24"/>
      <c r="S5" s="24"/>
    </row>
    <row r="6" spans="1:19" ht="21.75" customHeight="1" thickTop="1" thickBot="1" x14ac:dyDescent="0.3">
      <c r="A6" s="14" t="s">
        <v>20</v>
      </c>
      <c r="B6" s="15"/>
      <c r="C6" s="27" t="s">
        <v>16</v>
      </c>
      <c r="E6" s="20"/>
      <c r="F6" s="26" t="s">
        <v>21</v>
      </c>
      <c r="G6" s="16" t="s">
        <v>17</v>
      </c>
      <c r="H6" s="27" t="s">
        <v>18</v>
      </c>
      <c r="I6" s="20"/>
      <c r="K6" s="17" t="s">
        <v>19</v>
      </c>
      <c r="L6" s="18"/>
      <c r="M6" s="41">
        <f ca="1">NOW()</f>
        <v>42074.490217361112</v>
      </c>
      <c r="N6" s="47"/>
      <c r="O6" s="19"/>
      <c r="P6" s="33"/>
      <c r="Q6" s="33"/>
      <c r="R6" s="42" t="s">
        <v>24</v>
      </c>
      <c r="S6" s="43">
        <f>SUM(S2:S4)</f>
        <v>0</v>
      </c>
    </row>
    <row r="7" spans="1:19" ht="16.5" customHeight="1" thickTop="1" thickBot="1" x14ac:dyDescent="0.35">
      <c r="M7" s="26" t="s">
        <v>23</v>
      </c>
      <c r="N7" s="48"/>
      <c r="O7" s="37"/>
      <c r="P7" s="46" t="s">
        <v>22</v>
      </c>
      <c r="Q7" s="46"/>
      <c r="R7" s="44"/>
      <c r="S7" s="45" t="s">
        <v>25</v>
      </c>
    </row>
    <row r="8" spans="1:19" ht="17.25" thickTop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dcterms:created xsi:type="dcterms:W3CDTF">2014-12-04T09:48:08Z</dcterms:created>
  <dcterms:modified xsi:type="dcterms:W3CDTF">2015-03-11T11:46:13Z</dcterms:modified>
</cp:coreProperties>
</file>