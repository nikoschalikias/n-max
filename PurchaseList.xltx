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LORA-IA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6" i="1" l="1"/>
  <c r="S6" i="1" l="1"/>
  <c r="T4" i="1" l="1"/>
  <c r="T3" i="1"/>
  <c r="T2" i="1"/>
  <c r="Q3" i="1" l="1"/>
  <c r="S3" i="1" s="1"/>
  <c r="Q4" i="1"/>
  <c r="S4" i="1" s="1"/>
  <c r="Q2" i="1"/>
  <c r="S2" i="1" s="1"/>
  <c r="M6" i="1" l="1"/>
  <c r="A3" i="1" l="1"/>
  <c r="A4" i="1"/>
  <c r="A2" i="1"/>
</calcChain>
</file>

<file path=xl/sharedStrings.xml><?xml version="1.0" encoding="utf-8"?>
<sst xmlns="http://schemas.openxmlformats.org/spreadsheetml/2006/main" count="31" uniqueCount="30">
  <si>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</si>
  <si>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</si>
  <si>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</si>
  <si>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</si>
  <si>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</si>
  <si>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</si>
  <si>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</si>
  <si>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</si>
  <si>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</si>
  <si>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</si>
  <si>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</si>
  <si>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</si>
  <si>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</si>
  <si>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</si>
  <si>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</si>
  <si>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</si>
  <si>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</si>
  <si>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</si>
  <si>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</si>
  <si>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</si>
  <si>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</si>
  <si>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</si>
  <si>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</si>
  <si>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</si>
  <si>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</si>
  <si>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</si>
  <si>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</si>
  <si>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</si>
  <si>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</si>
  <si>
    <t>Column=S.Footprint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</si>
</sst>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  <font>
      <b/>
      <sz val="10"/>
      <color rgb="FF000000"/>
      <name val="Courier New"/>
      <family val="3"/>
    </font>
    <font>
      <b/>
      <sz val="10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3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5" borderId="0" xfId="0" quotePrefix="1" applyFont="1" applyFill="1" applyBorder="1" applyAlignment="1">
      <alignment vertical="center" wrapText="1"/>
    </xf>
    <xf numFmtId="0" fontId="0" fillId="5" borderId="0" xfId="0" applyFill="1"/>
    <xf numFmtId="0" fontId="3" fillId="5" borderId="0" xfId="0" quotePrefix="1" applyFont="1" applyFill="1" applyBorder="1" applyAlignment="1">
      <alignment vertical="center" wrapText="1"/>
    </xf>
    <xf numFmtId="0" fontId="2" fillId="5" borderId="0" xfId="0" applyFont="1" applyFill="1"/>
    <xf numFmtId="0" fontId="3" fillId="5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5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5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165" fontId="0" fillId="3" borderId="7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5" borderId="1" xfId="0" quotePrefix="1" applyFont="1" applyFill="1" applyBorder="1" applyAlignment="1">
      <alignment vertical="center" wrapText="1"/>
    </xf>
    <xf numFmtId="0" fontId="12" fillId="6" borderId="1" xfId="0" quotePrefix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5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6" fillId="7" borderId="1" xfId="0" quotePrefix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"/>
  <sheetViews>
    <sheetView tabSelected="1" zoomScale="90" zoomScaleNormal="90" workbookViewId="0">
      <selection activeCell="E2" sqref="E2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16.8554687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6" customWidth="1"/>
    <col min="11" max="11" width="7.5703125" customWidth="1"/>
    <col min="12" max="12" width="8.140625" customWidth="1"/>
    <col min="13" max="13" width="28" style="28" customWidth="1"/>
    <col min="14" max="14" width="4.28515625" style="28" customWidth="1"/>
    <col min="15" max="15" width="5.42578125" style="1" customWidth="1"/>
    <col min="16" max="17" width="6.42578125" style="31" customWidth="1"/>
    <col min="18" max="18" width="10.28515625" customWidth="1"/>
    <col min="19" max="19" width="12.5703125" customWidth="1"/>
    <col min="20" max="20" width="11.140625" bestFit="1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57" t="s">
        <v>29</v>
      </c>
      <c r="F1" s="7" t="s">
        <v>3</v>
      </c>
      <c r="G1" s="57" t="s">
        <v>14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25</v>
      </c>
      <c r="O1" s="5" t="s">
        <v>11</v>
      </c>
      <c r="P1" s="5" t="s">
        <v>12</v>
      </c>
      <c r="Q1" s="5" t="s">
        <v>26</v>
      </c>
      <c r="R1" s="5" t="s">
        <v>13</v>
      </c>
      <c r="S1" s="5" t="s">
        <v>27</v>
      </c>
      <c r="T1" s="49" t="s">
        <v>0</v>
      </c>
    </row>
    <row r="2" spans="1:20" ht="24.75" customHeight="1" x14ac:dyDescent="0.25">
      <c r="A2" s="8">
        <f>ROW(A2) - ROW($A$1)</f>
        <v>1</v>
      </c>
      <c r="B2" s="35"/>
      <c r="C2" s="34"/>
      <c r="D2" s="34"/>
      <c r="E2" s="34"/>
      <c r="F2" s="9"/>
      <c r="G2" s="36"/>
      <c r="H2" s="9"/>
      <c r="I2" s="9"/>
      <c r="J2" s="50"/>
      <c r="K2" s="9"/>
      <c r="L2" s="10"/>
      <c r="M2" s="51"/>
      <c r="N2" s="45">
        <v>1</v>
      </c>
      <c r="O2" s="10"/>
      <c r="P2" s="48"/>
      <c r="Q2" s="52">
        <f>ROUNDUP(P2*N2,0)</f>
        <v>0</v>
      </c>
      <c r="R2" s="32"/>
      <c r="S2" s="32">
        <f>R2*Q2</f>
        <v>0</v>
      </c>
      <c r="T2" s="53">
        <f>ROW(T2) - ROW($A$1)</f>
        <v>1</v>
      </c>
    </row>
    <row r="3" spans="1:20" ht="24.75" customHeight="1" x14ac:dyDescent="0.25">
      <c r="A3" s="8">
        <f t="shared" ref="A3:A4" si="0">ROW(A3) - ROW($A$1)</f>
        <v>2</v>
      </c>
      <c r="B3" s="35"/>
      <c r="C3" s="34"/>
      <c r="D3" s="34"/>
      <c r="E3" s="34"/>
      <c r="F3" s="9"/>
      <c r="G3" s="36"/>
      <c r="H3" s="9"/>
      <c r="I3" s="9"/>
      <c r="J3" s="50"/>
      <c r="K3" s="9"/>
      <c r="L3" s="10"/>
      <c r="M3" s="51"/>
      <c r="N3" s="45">
        <v>1</v>
      </c>
      <c r="O3" s="10"/>
      <c r="P3" s="48"/>
      <c r="Q3" s="52">
        <f t="shared" ref="Q3:Q4" si="1">ROUNDUP(P3*N3,0)</f>
        <v>0</v>
      </c>
      <c r="R3" s="32"/>
      <c r="S3" s="32">
        <f t="shared" ref="S3:S4" si="2">R3*Q3</f>
        <v>0</v>
      </c>
      <c r="T3" s="53">
        <f t="shared" ref="T3:T4" si="3">ROW(T3) - ROW($A$1)</f>
        <v>2</v>
      </c>
    </row>
    <row r="4" spans="1:20" ht="24.75" customHeight="1" x14ac:dyDescent="0.25">
      <c r="A4" s="8">
        <f t="shared" si="0"/>
        <v>3</v>
      </c>
      <c r="B4" s="35"/>
      <c r="C4" s="34"/>
      <c r="D4" s="34"/>
      <c r="E4" s="34"/>
      <c r="F4" s="9"/>
      <c r="G4" s="36"/>
      <c r="H4" s="9"/>
      <c r="I4" s="9"/>
      <c r="J4" s="50"/>
      <c r="K4" s="9"/>
      <c r="L4" s="10"/>
      <c r="M4" s="51"/>
      <c r="N4" s="45">
        <v>1</v>
      </c>
      <c r="O4" s="10"/>
      <c r="P4" s="48"/>
      <c r="Q4" s="52">
        <f t="shared" si="1"/>
        <v>0</v>
      </c>
      <c r="R4" s="32"/>
      <c r="S4" s="32">
        <f t="shared" si="2"/>
        <v>0</v>
      </c>
      <c r="T4" s="53">
        <f t="shared" si="3"/>
        <v>3</v>
      </c>
    </row>
    <row r="5" spans="1:20" ht="6.75" customHeight="1" thickBot="1" x14ac:dyDescent="0.3">
      <c r="A5" s="18"/>
      <c r="B5" s="19"/>
      <c r="C5" s="20"/>
      <c r="D5" s="20"/>
      <c r="E5" s="19"/>
      <c r="F5" s="20"/>
      <c r="G5" s="19"/>
      <c r="H5" s="20"/>
      <c r="I5" s="20"/>
      <c r="J5" s="25"/>
      <c r="K5" s="20"/>
      <c r="L5" s="21"/>
      <c r="M5" s="27"/>
      <c r="N5" s="27"/>
      <c r="O5" s="22"/>
      <c r="P5" s="29"/>
      <c r="Q5" s="29"/>
      <c r="R5" s="21"/>
      <c r="S5" s="21"/>
    </row>
    <row r="6" spans="1:20" ht="21.75" customHeight="1" thickTop="1" thickBot="1" x14ac:dyDescent="0.3">
      <c r="A6" s="11" t="s">
        <v>19</v>
      </c>
      <c r="B6" s="12"/>
      <c r="C6" s="24" t="s">
        <v>15</v>
      </c>
      <c r="E6" s="56"/>
      <c r="F6" s="23" t="s">
        <v>20</v>
      </c>
      <c r="G6" s="13" t="s">
        <v>16</v>
      </c>
      <c r="H6" s="24" t="s">
        <v>17</v>
      </c>
      <c r="I6" s="17"/>
      <c r="K6" s="14" t="s">
        <v>18</v>
      </c>
      <c r="L6" s="15"/>
      <c r="M6" s="37">
        <f ca="1">NOW()</f>
        <v>42677.669862962961</v>
      </c>
      <c r="N6" s="43"/>
      <c r="O6" s="16"/>
      <c r="P6" s="30"/>
      <c r="Q6" s="30"/>
      <c r="R6" s="38" t="s">
        <v>23</v>
      </c>
      <c r="S6" s="39">
        <f>SUM(S2:S4)</f>
        <v>0</v>
      </c>
      <c r="T6" s="47" t="e">
        <f>(SUM(S2:S4))/P7</f>
        <v>#VALUE!</v>
      </c>
    </row>
    <row r="7" spans="1:20" ht="16.5" customHeight="1" thickTop="1" thickBot="1" x14ac:dyDescent="0.35">
      <c r="M7" s="23" t="s">
        <v>22</v>
      </c>
      <c r="N7" s="44"/>
      <c r="O7" s="33"/>
      <c r="P7" s="54" t="s">
        <v>21</v>
      </c>
      <c r="Q7" s="42"/>
      <c r="R7" s="40"/>
      <c r="S7" s="41" t="s">
        <v>24</v>
      </c>
      <c r="T7" s="46" t="s">
        <v>28</v>
      </c>
    </row>
    <row r="8" spans="1:20" ht="19.5" thickTop="1" x14ac:dyDescent="0.3">
      <c r="P8" s="55"/>
    </row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cp:lastPrinted>2015-10-19T13:21:42Z</cp:lastPrinted>
  <dcterms:created xsi:type="dcterms:W3CDTF">2014-12-04T09:48:08Z</dcterms:created>
  <dcterms:modified xsi:type="dcterms:W3CDTF">2016-11-03T16:05:55Z</dcterms:modified>
</cp:coreProperties>
</file>